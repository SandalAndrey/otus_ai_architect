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сходные данные" sheetId="1" state="visible" r:id="rId3"/>
    <sheet name="VRAM" sheetId="2" state="visible" r:id="rId4"/>
    <sheet name="Карты" sheetId="3" state="visible" r:id="rId5"/>
    <sheet name="Облака" sheetId="4" state="visible" r:id="rId6"/>
    <sheet name="Оптимизация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<sst xmlns="http://schemas.openxmlformats.org/spreadsheetml/2006/main" count="262" uniqueCount="162">
  <si>
    <t xml:space="preserve">Исходные данные и допущения</t>
  </si>
  <si>
    <t xml:space="preserve">Синим - ввод, можно менять, всё пересчитается. Чёрным - расчёт. Жёлтым - ключевые допущения.</t>
  </si>
  <si>
    <t xml:space="preserve">Параметр</t>
  </si>
  <si>
    <t xml:space="preserve">Значение</t>
  </si>
  <si>
    <t xml:space="preserve">Единица</t>
  </si>
  <si>
    <t xml:space="preserve">Источник или основание</t>
  </si>
  <si>
    <t xml:space="preserve">Запросов в месяц</t>
  </si>
  <si>
    <t xml:space="preserve">шт</t>
  </si>
  <si>
    <t xml:space="preserve">Гипотеза проекта, подтверждается вопросом Q-19</t>
  </si>
  <si>
    <t xml:space="preserve">Пропускная способность</t>
  </si>
  <si>
    <t xml:space="preserve">RPS</t>
  </si>
  <si>
    <t xml:space="preserve">НФТ NFR-1.3</t>
  </si>
  <si>
    <t xml:space="preserve">Латентность p95</t>
  </si>
  <si>
    <t xml:space="preserve">с</t>
  </si>
  <si>
    <t xml:space="preserve">НФТ NFR-1.2</t>
  </si>
  <si>
    <t xml:space="preserve">Одновременных обработок</t>
  </si>
  <si>
    <t xml:space="preserve">Закон Литтла: RPS умножить на время ответа</t>
  </si>
  <si>
    <t xml:space="preserve">Потоков генерации на обработку</t>
  </si>
  <si>
    <t xml:space="preserve">ADR-0007: агенты извлечения работают параллельно</t>
  </si>
  <si>
    <t xml:space="preserve">Потоков генерации всего</t>
  </si>
  <si>
    <t xml:space="preserve">Расчёт</t>
  </si>
  <si>
    <t xml:space="preserve">Требуемая скорость на поток</t>
  </si>
  <si>
    <t xml:space="preserve">ток/с</t>
  </si>
  <si>
    <t xml:space="preserve">НФТ профиль B, выведено из бюджета токенов в ADR-0010</t>
  </si>
  <si>
    <t xml:space="preserve">Длина контекста</t>
  </si>
  <si>
    <t xml:space="preserve">токенов</t>
  </si>
  <si>
    <t xml:space="preserve">Допущение проекта</t>
  </si>
  <si>
    <t xml:space="preserve">Слоёв модели</t>
  </si>
  <si>
    <t xml:space="preserve">Порядок величины для моделей 14-30B</t>
  </si>
  <si>
    <t xml:space="preserve">Скрытая размерность</t>
  </si>
  <si>
    <t xml:space="preserve">Там же</t>
  </si>
  <si>
    <t xml:space="preserve">Голов внимания</t>
  </si>
  <si>
    <t xml:space="preserve">KV-голов (GQA)</t>
  </si>
  <si>
    <t xml:space="preserve">Требование проекта: GQA не хуже 4/32</t>
  </si>
  <si>
    <t xml:space="preserve">Накладные на ядра и буферы</t>
  </si>
  <si>
    <t xml:space="preserve">x</t>
  </si>
  <si>
    <t xml:space="preserve">Отраслевой множитель</t>
  </si>
  <si>
    <t xml:space="preserve">КПД полосы памяти</t>
  </si>
  <si>
    <t xml:space="preserve">доля</t>
  </si>
  <si>
    <t xml:space="preserve">Практически достижимая доля паспортной полосы</t>
  </si>
  <si>
    <t xml:space="preserve">Часов в месяце</t>
  </si>
  <si>
    <t xml:space="preserve">ч</t>
  </si>
  <si>
    <t xml:space="preserve">24 умножить на 365 и разделить на 12</t>
  </si>
  <si>
    <t xml:space="preserve">Видеопамять: веса и KV-cache</t>
  </si>
  <si>
    <t xml:space="preserve">Веса = параметры x байт на параметр x накладные. Байт: FP16 = 2.0, INT8 = 1.0, INT4 = 0.6 (0.5 плюс метаданные квантования).</t>
  </si>
  <si>
    <t xml:space="preserve">Модель</t>
  </si>
  <si>
    <t xml:space="preserve">Параметров, млрд</t>
  </si>
  <si>
    <t xml:space="preserve">FP16, ГБ</t>
  </si>
  <si>
    <t xml:space="preserve">INT8, ГБ</t>
  </si>
  <si>
    <t xml:space="preserve">INT4, ГБ</t>
  </si>
  <si>
    <t xml:space="preserve">Qwen3-8B</t>
  </si>
  <si>
    <t xml:space="preserve">Qwen3-14B</t>
  </si>
  <si>
    <t xml:space="preserve">Qwen3-30B-A3B</t>
  </si>
  <si>
    <t xml:space="preserve">KV-cache = 2 x слои x размерность_kv x длина x потоки x байт</t>
  </si>
  <si>
    <t xml:space="preserve">размерность_kv = скрытая размерность x KV-голов / голов внимания, то есть эффект GQA</t>
  </si>
  <si>
    <t xml:space="preserve">Точность KV</t>
  </si>
  <si>
    <t xml:space="preserve">Байт</t>
  </si>
  <si>
    <t xml:space="preserve">На поток, ГБ</t>
  </si>
  <si>
    <t xml:space="preserve">На 20 потоков, ГБ</t>
  </si>
  <si>
    <t xml:space="preserve">Комментарий</t>
  </si>
  <si>
    <t xml:space="preserve">INT8</t>
  </si>
  <si>
    <t xml:space="preserve">Принято: квантование KV до INT8 обязательно</t>
  </si>
  <si>
    <t xml:space="preserve">FP16</t>
  </si>
  <si>
    <t xml:space="preserve">Вдвое дороже по памяти</t>
  </si>
  <si>
    <t xml:space="preserve">Итого на карте: веса плюс KV при 20 потоках</t>
  </si>
  <si>
    <t xml:space="preserve">FP16 + KV, ГБ</t>
  </si>
  <si>
    <t xml:space="preserve">INT4 + KV, ГБ</t>
  </si>
  <si>
    <t xml:space="preserve">Экономия, ГБ</t>
  </si>
  <si>
    <t xml:space="preserve">Экономия, %</t>
  </si>
  <si>
    <t xml:space="preserve">Подбор GPU: помещается ли модель и даёт ли нужную скорость</t>
  </si>
  <si>
    <t xml:space="preserve">Скорость генерации упирается в полосу памяти: за один проход читаются все веса. Токенов в секунду = полоса / размер весов x КПД.</t>
  </si>
  <si>
    <t xml:space="preserve">Главный вывод расчёта: ограничение - не объём памяти, а скорость её чтения.</t>
  </si>
  <si>
    <t xml:space="preserve">Карта</t>
  </si>
  <si>
    <t xml:space="preserve">VRAM, ГБ</t>
  </si>
  <si>
    <t xml:space="preserve">Полоса, ГБ/с</t>
  </si>
  <si>
    <t xml:space="preserve">Источник</t>
  </si>
  <si>
    <t xml:space="preserve">T4 16 ГБ</t>
  </si>
  <si>
    <t xml:space="preserve">NVIDIA T4 datasheet</t>
  </si>
  <si>
    <t xml:space="preserve">L4 24 ГБ</t>
  </si>
  <si>
    <t xml:space="preserve">NVIDIA L4 datasheet</t>
  </si>
  <si>
    <t xml:space="preserve">A100 40 ГБ</t>
  </si>
  <si>
    <t xml:space="preserve">NVIDIA A100 PCIe 40GB datasheet, HBM2</t>
  </si>
  <si>
    <t xml:space="preserve">A100 80 ГБ</t>
  </si>
  <si>
    <t xml:space="preserve">NVIDIA A100 PCIe 80GB, HBM2e</t>
  </si>
  <si>
    <t xml:space="preserve">Комбинации карта, модель и точность</t>
  </si>
  <si>
    <t xml:space="preserve">Точн.</t>
  </si>
  <si>
    <t xml:space="preserve">Веса, ГБ</t>
  </si>
  <si>
    <t xml:space="preserve">С KV, ГБ</t>
  </si>
  <si>
    <t xml:space="preserve">Влезает</t>
  </si>
  <si>
    <t xml:space="preserve">ток/с теория</t>
  </si>
  <si>
    <t xml:space="preserve">ток/с с КПД</t>
  </si>
  <si>
    <t xml:space="preserve">Проходит NFR</t>
  </si>
  <si>
    <t xml:space="preserve">INT4</t>
  </si>
  <si>
    <t xml:space="preserve">T4 и L4 вмещают модель 8B в INT4, но дают менее половины требуемой скорости: ограничение - полоса памяти, а не объём.</t>
  </si>
  <si>
    <t xml:space="preserve">Qwen3-30B в INT4 помещается в A100 40 ГБ, но тоже не даёт 90 ток/с. Подходит Qwen3-14B в INT4 на A100 40 ГБ.</t>
  </si>
  <si>
    <t xml:space="preserve">Набрать скорость числом слабых карт нельзя: тензорный параллелизм делит веса, но добавляет обмен между картами по шине.</t>
  </si>
  <si>
    <t xml:space="preserve">Стоимость аренды: два российских облака</t>
  </si>
  <si>
    <t xml:space="preserve">Цены собраны в октябре 2026, перед договором подлежат перепроверке. Сопоставимость неполная: Yandex тарифицирует GPU, vCPU и память раздельно, Cloud.ru отдаёт vGPU в составе конфигурации.</t>
  </si>
  <si>
    <t xml:space="preserve">Провайдер</t>
  </si>
  <si>
    <t xml:space="preserve">Конфигурация</t>
  </si>
  <si>
    <t xml:space="preserve">Руб/ч</t>
  </si>
  <si>
    <t xml:space="preserve">Круглосуточно, руб/мес</t>
  </si>
  <si>
    <t xml:space="preserve">12 ч в сутки, руб/мес</t>
  </si>
  <si>
    <t xml:space="preserve">Примечание</t>
  </si>
  <si>
    <t xml:space="preserve">Yandex Cloud</t>
  </si>
  <si>
    <t xml:space="preserve">A100 40 ГБ, нижняя ставка</t>
  </si>
  <si>
    <t xml:space="preserve">Ставка за карту, без vCPU и памяти</t>
  </si>
  <si>
    <t xml:space="preserve">A100 40 ГБ, верхняя ставка</t>
  </si>
  <si>
    <t xml:space="preserve">T4 16 ГБ, DataSphere gt4.1</t>
  </si>
  <si>
    <t xml:space="preserve">Готовая конфигурация сервиса</t>
  </si>
  <si>
    <t xml:space="preserve">Cloud.ru</t>
  </si>
  <si>
    <t xml:space="preserve">A100 vGPU 40 ГБ</t>
  </si>
  <si>
    <t xml:space="preserve">Минимальный период - месяц</t>
  </si>
  <si>
    <t xml:space="preserve">A100 vGPU 80 ГБ</t>
  </si>
  <si>
    <t xml:space="preserve">Оценка хоста</t>
  </si>
  <si>
    <t xml:space="preserve">vCPU и память к карте Yandex</t>
  </si>
  <si>
    <t xml:space="preserve">Порядок величины, около 15 000 руб/мес</t>
  </si>
  <si>
    <t xml:space="preserve">Сопоставимые варианты под рекомендуемую конфигурацию: A100 40 ГБ и Qwen3-14B в INT4</t>
  </si>
  <si>
    <t xml:space="preserve">Вариант</t>
  </si>
  <si>
    <t xml:space="preserve">Состав</t>
  </si>
  <si>
    <t xml:space="preserve">Руб/мес</t>
  </si>
  <si>
    <t xml:space="preserve">Сверх минимума</t>
  </si>
  <si>
    <t xml:space="preserve">A100 40 ГБ по верхней ставке плюс хост</t>
  </si>
  <si>
    <t xml:space="preserve">A100 vGPU 40 ГБ, всё включено</t>
  </si>
  <si>
    <t xml:space="preserve">Принято в смете</t>
  </si>
  <si>
    <t xml:space="preserve">Консервативная величина для расчёта владения</t>
  </si>
  <si>
    <t xml:space="preserve">Значение 180 000 попало в смету до этого расчёта и без источника. Проверка показала, что оно лежит внутри реального диапазона</t>
  </si>
  <si>
    <t xml:space="preserve">и ближе к верхней границе. Оставлено как консервативное: занизить стоимость в смете хуже, чем завысить.</t>
  </si>
  <si>
    <t xml:space="preserve">Эффект vLLM: continuous batching и PagedAttention</t>
  </si>
  <si>
    <t xml:space="preserve">Расчёт на листе "Карты" уже предполагает пакетную обработку: за один проход по весам каждый поток получает по токену.</t>
  </si>
  <si>
    <t xml:space="preserve">Ниже показано, во что обошёлся бы отказ от неё.</t>
  </si>
  <si>
    <t xml:space="preserve">Показатель</t>
  </si>
  <si>
    <t xml:space="preserve">Без батчинга</t>
  </si>
  <si>
    <t xml:space="preserve">С continuous batching</t>
  </si>
  <si>
    <t xml:space="preserve">Ед.</t>
  </si>
  <si>
    <t xml:space="preserve">Требуется суммарно</t>
  </si>
  <si>
    <t xml:space="preserve">20 потоков по 90 токенов в секунду</t>
  </si>
  <si>
    <t xml:space="preserve">Даёт одна карта A100 40 ГБ</t>
  </si>
  <si>
    <t xml:space="preserve">Рекомендуемая конфигурация: A100 40 ГБ, Qwen3-14B в INT4</t>
  </si>
  <si>
    <t xml:space="preserve">Карт нужно</t>
  </si>
  <si>
    <t xml:space="preserve">Округление вверх</t>
  </si>
  <si>
    <t xml:space="preserve">Аренда, руб/мес</t>
  </si>
  <si>
    <t xml:space="preserve">руб</t>
  </si>
  <si>
    <t xml:space="preserve">По ставке Cloud.ru за A100 40 ГБ</t>
  </si>
  <si>
    <t xml:space="preserve">Экономия</t>
  </si>
  <si>
    <t xml:space="preserve">руб и раз</t>
  </si>
  <si>
    <t xml:space="preserve">Это не оптимизация, а условие выполнимости требования</t>
  </si>
  <si>
    <t xml:space="preserve">PagedAttention: экономия памяти под KV</t>
  </si>
  <si>
    <t xml:space="preserve">Классический аллокатор</t>
  </si>
  <si>
    <t xml:space="preserve">PagedAttention</t>
  </si>
  <si>
    <t xml:space="preserve">Резервируется на поток</t>
  </si>
  <si>
    <t xml:space="preserve">ГБ</t>
  </si>
  <si>
    <t xml:space="preserve">Классический резервирует предельную длину заранее</t>
  </si>
  <si>
    <t xml:space="preserve">На 20 потоков</t>
  </si>
  <si>
    <t xml:space="preserve">Фактическая длина диалога короче предельной</t>
  </si>
  <si>
    <t xml:space="preserve">Итого с весами 14B в INT4</t>
  </si>
  <si>
    <t xml:space="preserve">Помещается в A100 40 ГБ в обоих случаях</t>
  </si>
  <si>
    <t xml:space="preserve">Доля предельной длины, занимаемая фактически</t>
  </si>
  <si>
    <t xml:space="preserve">Допущение: средний диалог около трети предельного контекста</t>
  </si>
  <si>
    <t xml:space="preserve">Что даёт квантование, и почему дважды</t>
  </si>
  <si>
    <t xml:space="preserve">Переход с FP16 на INT4 уменьшает веса более чем втрое, и это сразу два эффекта: модель помещается в меньшую карту</t>
  </si>
  <si>
    <t xml:space="preserve">и генерирует быстрее, потому что за проход читается втрое меньше байт. PagedAttention экономит только память.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</si>
</sst>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0.00"/>
    <numFmt numFmtId="167" formatCode="0.000"/>
    <numFmt numFmtId="168" formatCode="0.0%"/>
    <numFmt numFmtId="169" formatCode="0"/>
    <numFmt numFmtId="170" formatCode="#,##0"/>
    <numFmt numFmtId="171" formatCode="0.0\x"/>
    <numFmt numFmtId="172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546A"/>
        <bgColor rgb="FF595959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2EFDA"/>
        </patternFill>
      </fill>
    </dxf>
    <dxf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76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v>30000</v>
      </c>
      <c r="C5" s="5" t="s">
        <v>7</v>
      </c>
      <c r="D5" s="7" t="s">
        <v>8</v>
      </c>
    </row>
    <row r="6" customFormat="false" ht="15" hidden="false" customHeight="true" outlineLevel="0" collapsed="false">
      <c r="A6" s="5" t="s">
        <v>9</v>
      </c>
      <c r="B6" s="6" t="n">
        <v>2</v>
      </c>
      <c r="C6" s="5" t="s">
        <v>10</v>
      </c>
      <c r="D6" s="7" t="s">
        <v>11</v>
      </c>
    </row>
    <row r="7" customFormat="false" ht="15" hidden="false" customHeight="true" outlineLevel="0" collapsed="false">
      <c r="A7" s="5" t="s">
        <v>12</v>
      </c>
      <c r="B7" s="6" t="n">
        <v>5</v>
      </c>
      <c r="C7" s="5" t="s">
        <v>13</v>
      </c>
      <c r="D7" s="7" t="s">
        <v>14</v>
      </c>
    </row>
    <row r="8" customFormat="false" ht="15" hidden="false" customHeight="true" outlineLevel="0" collapsed="false">
      <c r="A8" s="5" t="s">
        <v>15</v>
      </c>
      <c r="B8" s="5" t="n">
        <f aca="false">B6*B7</f>
        <v>10</v>
      </c>
      <c r="C8" s="5" t="s">
        <v>7</v>
      </c>
      <c r="D8" s="7" t="s">
        <v>16</v>
      </c>
    </row>
    <row r="9" customFormat="false" ht="15" hidden="false" customHeight="true" outlineLevel="0" collapsed="false">
      <c r="A9" s="5" t="s">
        <v>17</v>
      </c>
      <c r="B9" s="6" t="n">
        <v>2</v>
      </c>
      <c r="C9" s="5" t="s">
        <v>7</v>
      </c>
      <c r="D9" s="7" t="s">
        <v>18</v>
      </c>
    </row>
    <row r="10" customFormat="false" ht="15" hidden="false" customHeight="true" outlineLevel="0" collapsed="false">
      <c r="A10" s="5" t="s">
        <v>19</v>
      </c>
      <c r="B10" s="5" t="n">
        <f aca="false">B8*B9</f>
        <v>20</v>
      </c>
      <c r="C10" s="5" t="s">
        <v>7</v>
      </c>
      <c r="D10" s="7" t="s">
        <v>20</v>
      </c>
    </row>
    <row r="11" customFormat="false" ht="15" hidden="false" customHeight="true" outlineLevel="0" collapsed="false">
      <c r="A11" s="5" t="s">
        <v>21</v>
      </c>
      <c r="B11" s="8" t="n">
        <v>90</v>
      </c>
      <c r="C11" s="5" t="s">
        <v>22</v>
      </c>
      <c r="D11" s="7" t="s">
        <v>23</v>
      </c>
    </row>
    <row r="12" customFormat="false" ht="15" hidden="false" customHeight="true" outlineLevel="0" collapsed="false">
      <c r="A12" s="5" t="s">
        <v>24</v>
      </c>
      <c r="B12" s="6" t="n">
        <v>8192</v>
      </c>
      <c r="C12" s="5" t="s">
        <v>25</v>
      </c>
      <c r="D12" s="7" t="s">
        <v>26</v>
      </c>
    </row>
    <row r="13" customFormat="false" ht="15" hidden="false" customHeight="true" outlineLevel="0" collapsed="false">
      <c r="A13" s="5" t="s">
        <v>27</v>
      </c>
      <c r="B13" s="6" t="n">
        <v>48</v>
      </c>
      <c r="C13" s="5" t="s">
        <v>7</v>
      </c>
      <c r="D13" s="7" t="s">
        <v>28</v>
      </c>
    </row>
    <row r="14" customFormat="false" ht="15" hidden="false" customHeight="true" outlineLevel="0" collapsed="false">
      <c r="A14" s="5" t="s">
        <v>29</v>
      </c>
      <c r="B14" s="6" t="n">
        <v>4096</v>
      </c>
      <c r="C14" s="5"/>
      <c r="D14" s="7" t="s">
        <v>30</v>
      </c>
    </row>
    <row r="15" customFormat="false" ht="15" hidden="false" customHeight="true" outlineLevel="0" collapsed="false">
      <c r="A15" s="5" t="s">
        <v>31</v>
      </c>
      <c r="B15" s="6" t="n">
        <v>32</v>
      </c>
      <c r="C15" s="5" t="s">
        <v>7</v>
      </c>
      <c r="D15" s="7" t="s">
        <v>30</v>
      </c>
    </row>
    <row r="16" customFormat="false" ht="15" hidden="false" customHeight="true" outlineLevel="0" collapsed="false">
      <c r="A16" s="5" t="s">
        <v>32</v>
      </c>
      <c r="B16" s="6" t="n">
        <v>4</v>
      </c>
      <c r="C16" s="5" t="s">
        <v>7</v>
      </c>
      <c r="D16" s="7" t="s">
        <v>33</v>
      </c>
    </row>
    <row r="17" customFormat="false" ht="15" hidden="false" customHeight="true" outlineLevel="0" collapsed="false">
      <c r="A17" s="5" t="s">
        <v>34</v>
      </c>
      <c r="B17" s="9" t="n">
        <v>1.2</v>
      </c>
      <c r="C17" s="5" t="s">
        <v>35</v>
      </c>
      <c r="D17" s="7" t="s">
        <v>36</v>
      </c>
    </row>
    <row r="18" customFormat="false" ht="15" hidden="false" customHeight="true" outlineLevel="0" collapsed="false">
      <c r="A18" s="5" t="s">
        <v>37</v>
      </c>
      <c r="B18" s="10" t="n">
        <v>0.7</v>
      </c>
      <c r="C18" s="5" t="s">
        <v>38</v>
      </c>
      <c r="D18" s="7" t="s">
        <v>39</v>
      </c>
    </row>
    <row r="19" customFormat="false" ht="15" hidden="false" customHeight="true" outlineLevel="0" collapsed="false">
      <c r="A19" s="5" t="s">
        <v>40</v>
      </c>
      <c r="B19" s="6" t="n">
        <v>730</v>
      </c>
      <c r="C19" s="5" t="s">
        <v>41</v>
      </c>
      <c r="D19" s="7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12"/>
  </cols>
  <sheetData>
    <row r="1" customFormat="false" ht="15" hidden="false" customHeight="true" outlineLevel="0" collapsed="false">
      <c r="A1" s="2" t="s">
        <v>43</v>
      </c>
    </row>
    <row r="2" customFormat="false" ht="15" hidden="false" customHeight="true" outlineLevel="0" collapsed="false">
      <c r="A2" s="3" t="s">
        <v>44</v>
      </c>
    </row>
    <row r="4" customFormat="false" ht="27.75" hidden="false" customHeight="true" outlineLevel="0" collapsed="false">
      <c r="A4" s="4" t="s">
        <v>45</v>
      </c>
      <c r="B4" s="4" t="s">
        <v>46</v>
      </c>
      <c r="C4" s="4" t="s">
        <v>47</v>
      </c>
      <c r="D4" s="4" t="s">
        <v>48</v>
      </c>
      <c r="E4" s="4" t="s">
        <v>49</v>
      </c>
    </row>
    <row r="5" customFormat="false" ht="15" hidden="false" customHeight="true" outlineLevel="0" collapsed="false">
      <c r="A5" s="5" t="s">
        <v>50</v>
      </c>
      <c r="B5" s="6" t="n">
        <v>8</v>
      </c>
      <c r="C5" s="11" t="n">
        <f aca="false">B5*2*'Исходные данные'!$B$17</f>
        <v>19.2</v>
      </c>
      <c r="D5" s="11" t="n">
        <f aca="false">B5*1*'Исходные данные'!$B$17</f>
        <v>9.6</v>
      </c>
      <c r="E5" s="11" t="n">
        <f aca="false">B5*0.6*'Исходные данные'!$B$17</f>
        <v>5.76</v>
      </c>
    </row>
    <row r="6" customFormat="false" ht="15" hidden="false" customHeight="true" outlineLevel="0" collapsed="false">
      <c r="A6" s="5" t="s">
        <v>51</v>
      </c>
      <c r="B6" s="6" t="n">
        <v>14</v>
      </c>
      <c r="C6" s="11" t="n">
        <f aca="false">B6*2*'Исходные данные'!$B$17</f>
        <v>33.6</v>
      </c>
      <c r="D6" s="11" t="n">
        <f aca="false">B6*1*'Исходные данные'!$B$17</f>
        <v>16.8</v>
      </c>
      <c r="E6" s="11" t="n">
        <f aca="false">B6*0.6*'Исходные данные'!$B$17</f>
        <v>10.08</v>
      </c>
    </row>
    <row r="7" customFormat="false" ht="15" hidden="false" customHeight="true" outlineLevel="0" collapsed="false">
      <c r="A7" s="5" t="s">
        <v>52</v>
      </c>
      <c r="B7" s="6" t="n">
        <v>30</v>
      </c>
      <c r="C7" s="11" t="n">
        <f aca="false">B7*2*'Исходные данные'!$B$17</f>
        <v>72</v>
      </c>
      <c r="D7" s="11" t="n">
        <f aca="false">B7*1*'Исходные данные'!$B$17</f>
        <v>36</v>
      </c>
      <c r="E7" s="11" t="n">
        <f aca="false">B7*0.6*'Исходные данные'!$B$17</f>
        <v>21.6</v>
      </c>
    </row>
    <row r="9" customFormat="false" ht="15" hidden="false" customHeight="true" outlineLevel="0" collapsed="false">
      <c r="A9" s="12" t="s">
        <v>53</v>
      </c>
    </row>
    <row r="10" customFormat="false" ht="15" hidden="false" customHeight="true" outlineLevel="0" collapsed="false">
      <c r="A10" s="3" t="s">
        <v>54</v>
      </c>
    </row>
    <row r="11" customFormat="false" ht="27.75" hidden="false" customHeight="true" outlineLevel="0" collapsed="false">
      <c r="A11" s="4" t="s">
        <v>55</v>
      </c>
      <c r="B11" s="4" t="s">
        <v>56</v>
      </c>
      <c r="C11" s="4" t="s">
        <v>57</v>
      </c>
      <c r="D11" s="4" t="s">
        <v>58</v>
      </c>
      <c r="E11" s="4" t="s">
        <v>59</v>
      </c>
    </row>
    <row r="12" customFormat="false" ht="15" hidden="false" customHeight="true" outlineLevel="0" collapsed="false">
      <c r="A12" s="5" t="s">
        <v>60</v>
      </c>
      <c r="B12" s="6" t="n">
        <v>1</v>
      </c>
      <c r="C12" s="13" t="n">
        <f aca="false">2*'Исходные данные'!$B$13*('Исходные данные'!$B$14*'Исходные данные'!$B$16/'Исходные данные'!$B$15)*'Исходные данные'!$B$12*B12/1024^3</f>
        <v>0.375</v>
      </c>
      <c r="D12" s="11" t="n">
        <f aca="false">C12*'Исходные данные'!$B$10</f>
        <v>7.5</v>
      </c>
      <c r="E12" s="7" t="s">
        <v>61</v>
      </c>
    </row>
    <row r="13" customFormat="false" ht="15" hidden="false" customHeight="true" outlineLevel="0" collapsed="false">
      <c r="A13" s="5" t="s">
        <v>62</v>
      </c>
      <c r="B13" s="6" t="n">
        <v>2</v>
      </c>
      <c r="C13" s="13" t="n">
        <f aca="false">2*'Исходные данные'!$B$13*('Исходные данные'!$B$14*'Исходные данные'!$B$16/'Исходные данные'!$B$15)*'Исходные данные'!$B$12*B13/1024^3</f>
        <v>0.75</v>
      </c>
      <c r="D13" s="11" t="n">
        <f aca="false">C13*'Исходные данные'!$B$10</f>
        <v>15</v>
      </c>
      <c r="E13" s="7" t="s">
        <v>63</v>
      </c>
    </row>
    <row r="15" customFormat="false" ht="15" hidden="false" customHeight="true" outlineLevel="0" collapsed="false">
      <c r="A15" s="12" t="s">
        <v>64</v>
      </c>
    </row>
    <row r="16" customFormat="false" ht="27.75" hidden="false" customHeight="true" outlineLevel="0" collapsed="false">
      <c r="A16" s="4" t="s">
        <v>45</v>
      </c>
      <c r="B16" s="4" t="s">
        <v>65</v>
      </c>
      <c r="C16" s="4" t="s">
        <v>66</v>
      </c>
      <c r="D16" s="4" t="s">
        <v>67</v>
      </c>
      <c r="E16" s="4" t="s">
        <v>68</v>
      </c>
    </row>
    <row r="17" customFormat="false" ht="15" hidden="false" customHeight="true" outlineLevel="0" collapsed="false">
      <c r="A17" s="5" t="s">
        <v>50</v>
      </c>
      <c r="B17" s="11" t="n">
        <f aca="false">C5+VRAM!$D$12</f>
        <v>26.7</v>
      </c>
      <c r="C17" s="11" t="n">
        <f aca="false">E5+VRAM!$D$12</f>
        <v>13.26</v>
      </c>
      <c r="D17" s="11" t="n">
        <f aca="false">B17-C17</f>
        <v>13.44</v>
      </c>
      <c r="E17" s="14" t="n">
        <f aca="false">IFERROR((B17-C17)/B17,0)</f>
        <v>0.503370786516854</v>
      </c>
    </row>
    <row r="18" customFormat="false" ht="15" hidden="false" customHeight="true" outlineLevel="0" collapsed="false">
      <c r="A18" s="5" t="s">
        <v>51</v>
      </c>
      <c r="B18" s="11" t="n">
        <f aca="false">C6+VRAM!$D$12</f>
        <v>41.1</v>
      </c>
      <c r="C18" s="11" t="n">
        <f aca="false">E6+VRAM!$D$12</f>
        <v>17.58</v>
      </c>
      <c r="D18" s="11" t="n">
        <f aca="false">B18-C18</f>
        <v>23.52</v>
      </c>
      <c r="E18" s="14" t="n">
        <f aca="false">IFERROR((B18-C18)/B18,0)</f>
        <v>0.572262773722628</v>
      </c>
    </row>
    <row r="19" customFormat="false" ht="15" hidden="false" customHeight="true" outlineLevel="0" collapsed="false">
      <c r="A19" s="5" t="s">
        <v>52</v>
      </c>
      <c r="B19" s="11" t="n">
        <f aca="false">C7+VRAM!$D$12</f>
        <v>79.5</v>
      </c>
      <c r="C19" s="11" t="n">
        <f aca="false">E7+VRAM!$D$12</f>
        <v>29.1</v>
      </c>
      <c r="D19" s="11" t="n">
        <f aca="false">B19-C19</f>
        <v>50.4</v>
      </c>
      <c r="E19" s="14" t="n">
        <f aca="false">IFERROR((B19-C19)/B19,0)</f>
        <v>0.633962264150944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8"/>
    <col collapsed="false" customWidth="true" hidden="false" outlineLevel="0" max="5" min="4" style="1" width="11"/>
    <col collapsed="false" customWidth="true" hidden="false" outlineLevel="0" max="6" min="6" style="1" width="10"/>
    <col collapsed="false" customWidth="true" hidden="false" outlineLevel="0" max="8" min="7" style="1" width="13"/>
    <col collapsed="false" customWidth="true" hidden="false" outlineLevel="0" max="9" min="9" style="1" width="15"/>
  </cols>
  <sheetData>
    <row r="1" customFormat="false" ht="15" hidden="false" customHeight="true" outlineLevel="0" collapsed="false">
      <c r="A1" s="2" t="s">
        <v>69</v>
      </c>
    </row>
    <row r="2" customFormat="false" ht="15" hidden="false" customHeight="true" outlineLevel="0" collapsed="false">
      <c r="A2" s="3" t="s">
        <v>70</v>
      </c>
    </row>
    <row r="3" customFormat="false" ht="15" hidden="false" customHeight="true" outlineLevel="0" collapsed="false">
      <c r="A3" s="3" t="s">
        <v>71</v>
      </c>
    </row>
    <row r="5" customFormat="false" ht="27.75" hidden="false" customHeight="true" outlineLevel="0" collapsed="false">
      <c r="A5" s="4" t="s">
        <v>72</v>
      </c>
      <c r="B5" s="4" t="s">
        <v>73</v>
      </c>
      <c r="C5" s="4" t="s">
        <v>74</v>
      </c>
      <c r="D5" s="4" t="s">
        <v>75</v>
      </c>
    </row>
    <row r="6" customFormat="false" ht="15" hidden="false" customHeight="true" outlineLevel="0" collapsed="false">
      <c r="A6" s="5" t="s">
        <v>76</v>
      </c>
      <c r="B6" s="6" t="n">
        <v>16</v>
      </c>
      <c r="C6" s="6" t="n">
        <v>320</v>
      </c>
      <c r="D6" s="7" t="s">
        <v>77</v>
      </c>
    </row>
    <row r="7" customFormat="false" ht="15" hidden="false" customHeight="true" outlineLevel="0" collapsed="false">
      <c r="A7" s="5" t="s">
        <v>78</v>
      </c>
      <c r="B7" s="6" t="n">
        <v>24</v>
      </c>
      <c r="C7" s="6" t="n">
        <v>300</v>
      </c>
      <c r="D7" s="7" t="s">
        <v>79</v>
      </c>
    </row>
    <row r="8" customFormat="false" ht="15" hidden="false" customHeight="true" outlineLevel="0" collapsed="false">
      <c r="A8" s="5" t="s">
        <v>80</v>
      </c>
      <c r="B8" s="6" t="n">
        <v>40</v>
      </c>
      <c r="C8" s="6" t="n">
        <v>1555</v>
      </c>
      <c r="D8" s="7" t="s">
        <v>81</v>
      </c>
    </row>
    <row r="9" customFormat="false" ht="15" hidden="false" customHeight="true" outlineLevel="0" collapsed="false">
      <c r="A9" s="5" t="s">
        <v>82</v>
      </c>
      <c r="B9" s="6" t="n">
        <v>80</v>
      </c>
      <c r="C9" s="6" t="n">
        <v>1935</v>
      </c>
      <c r="D9" s="7" t="s">
        <v>83</v>
      </c>
    </row>
    <row r="11" customFormat="false" ht="15" hidden="false" customHeight="true" outlineLevel="0" collapsed="false">
      <c r="A11" s="12" t="s">
        <v>84</v>
      </c>
    </row>
    <row r="12" customFormat="false" ht="33.75" hidden="false" customHeight="true" outlineLevel="0" collapsed="false">
      <c r="A12" s="4" t="s">
        <v>72</v>
      </c>
      <c r="B12" s="4" t="s">
        <v>45</v>
      </c>
      <c r="C12" s="4" t="s">
        <v>85</v>
      </c>
      <c r="D12" s="4" t="s">
        <v>86</v>
      </c>
      <c r="E12" s="4" t="s">
        <v>87</v>
      </c>
      <c r="F12" s="4" t="s">
        <v>88</v>
      </c>
      <c r="G12" s="4" t="s">
        <v>89</v>
      </c>
      <c r="H12" s="4" t="s">
        <v>90</v>
      </c>
      <c r="I12" s="4" t="s">
        <v>91</v>
      </c>
    </row>
    <row r="13" customFormat="false" ht="15" hidden="false" customHeight="true" outlineLevel="0" collapsed="false">
      <c r="A13" s="5" t="s">
        <v>76</v>
      </c>
      <c r="B13" s="5" t="s">
        <v>50</v>
      </c>
      <c r="C13" s="5" t="s">
        <v>62</v>
      </c>
      <c r="D13" s="15" t="n">
        <f aca="false">VRAM!C5</f>
        <v>19.2</v>
      </c>
      <c r="E13" s="11" t="n">
        <f aca="false">D13+VRAM!$D$12</f>
        <v>26.7</v>
      </c>
      <c r="F13" s="5" t="str">
        <f aca="false">IF(E13&lt;=$B$6,"да","нет")</f>
        <v>нет</v>
      </c>
      <c r="G13" s="16" t="n">
        <f aca="false">$C$6/D13</f>
        <v>16.6666666666667</v>
      </c>
      <c r="H13" s="16" t="n">
        <f aca="false">G13*'Исходные данные'!$B$18</f>
        <v>11.6666666666667</v>
      </c>
      <c r="I13" s="5" t="str">
        <f aca="false">IF(F13="нет","не влезает",IF(H13&gt;='Исходные данные'!$B$11,"подходит","мало скорости"))</f>
        <v>не влезает</v>
      </c>
    </row>
    <row r="14" customFormat="false" ht="15" hidden="false" customHeight="true" outlineLevel="0" collapsed="false">
      <c r="A14" s="5" t="s">
        <v>76</v>
      </c>
      <c r="B14" s="5" t="s">
        <v>50</v>
      </c>
      <c r="C14" s="5" t="s">
        <v>92</v>
      </c>
      <c r="D14" s="15" t="n">
        <f aca="false">VRAM!E5</f>
        <v>5.76</v>
      </c>
      <c r="E14" s="11" t="n">
        <f aca="false">D14+VRAM!$D$12</f>
        <v>13.26</v>
      </c>
      <c r="F14" s="5" t="str">
        <f aca="false">IF(E14&lt;=$B$6,"да","нет")</f>
        <v>да</v>
      </c>
      <c r="G14" s="16" t="n">
        <f aca="false">$C$6/D14</f>
        <v>55.5555555555556</v>
      </c>
      <c r="H14" s="16" t="n">
        <f aca="false">G14*'Исходные данные'!$B$18</f>
        <v>38.8888888888889</v>
      </c>
      <c r="I14" s="5" t="str">
        <f aca="false">IF(F14="нет","не влезает",IF(H14&gt;='Исходные данные'!$B$11,"подходит","мало скорости"))</f>
        <v>мало скорости</v>
      </c>
    </row>
    <row r="15" customFormat="false" ht="15" hidden="false" customHeight="true" outlineLevel="0" collapsed="false">
      <c r="A15" s="5" t="s">
        <v>76</v>
      </c>
      <c r="B15" s="5" t="s">
        <v>51</v>
      </c>
      <c r="C15" s="5" t="s">
        <v>62</v>
      </c>
      <c r="D15" s="15" t="n">
        <f aca="false">VRAM!C6</f>
        <v>33.6</v>
      </c>
      <c r="E15" s="11" t="n">
        <f aca="false">D15+VRAM!$D$12</f>
        <v>41.1</v>
      </c>
      <c r="F15" s="5" t="str">
        <f aca="false">IF(E15&lt;=$B$6,"да","нет")</f>
        <v>нет</v>
      </c>
      <c r="G15" s="16" t="n">
        <f aca="false">$C$6/D15</f>
        <v>9.52380952380952</v>
      </c>
      <c r="H15" s="16" t="n">
        <f aca="false">G15*'Исходные данные'!$B$18</f>
        <v>6.66666666666667</v>
      </c>
      <c r="I15" s="5" t="str">
        <f aca="false">IF(F15="нет","не влезает",IF(H15&gt;='Исходные данные'!$B$11,"подходит","мало скорости"))</f>
        <v>не влезает</v>
      </c>
    </row>
    <row r="16" customFormat="false" ht="15" hidden="false" customHeight="true" outlineLevel="0" collapsed="false">
      <c r="A16" s="5" t="s">
        <v>76</v>
      </c>
      <c r="B16" s="5" t="s">
        <v>51</v>
      </c>
      <c r="C16" s="5" t="s">
        <v>92</v>
      </c>
      <c r="D16" s="15" t="n">
        <f aca="false">VRAM!E6</f>
        <v>10.08</v>
      </c>
      <c r="E16" s="11" t="n">
        <f aca="false">D16+VRAM!$D$12</f>
        <v>17.58</v>
      </c>
      <c r="F16" s="5" t="str">
        <f aca="false">IF(E16&lt;=$B$6,"да","нет")</f>
        <v>нет</v>
      </c>
      <c r="G16" s="16" t="n">
        <f aca="false">$C$6/D16</f>
        <v>31.7460317460317</v>
      </c>
      <c r="H16" s="16" t="n">
        <f aca="false">G16*'Исходные данные'!$B$18</f>
        <v>22.2222222222222</v>
      </c>
      <c r="I16" s="5" t="str">
        <f aca="false">IF(F16="нет","не влезает",IF(H16&gt;='Исходные данные'!$B$11,"подходит","мало скорости"))</f>
        <v>не влезает</v>
      </c>
    </row>
    <row r="17" customFormat="false" ht="15" hidden="false" customHeight="true" outlineLevel="0" collapsed="false">
      <c r="A17" s="5" t="s">
        <v>76</v>
      </c>
      <c r="B17" s="5" t="s">
        <v>52</v>
      </c>
      <c r="C17" s="5" t="s">
        <v>62</v>
      </c>
      <c r="D17" s="15" t="n">
        <f aca="false">VRAM!C7</f>
        <v>72</v>
      </c>
      <c r="E17" s="11" t="n">
        <f aca="false">D17+VRAM!$D$12</f>
        <v>79.5</v>
      </c>
      <c r="F17" s="5" t="str">
        <f aca="false">IF(E17&lt;=$B$6,"да","нет")</f>
        <v>нет</v>
      </c>
      <c r="G17" s="16" t="n">
        <f aca="false">$C$6/D17</f>
        <v>4.44444444444445</v>
      </c>
      <c r="H17" s="16" t="n">
        <f aca="false">G17*'Исходные данные'!$B$18</f>
        <v>3.11111111111111</v>
      </c>
      <c r="I17" s="5" t="str">
        <f aca="false">IF(F17="нет","не влезает",IF(H17&gt;='Исходные данные'!$B$11,"подходит","мало скорости"))</f>
        <v>не влезает</v>
      </c>
    </row>
    <row r="18" customFormat="false" ht="15" hidden="false" customHeight="true" outlineLevel="0" collapsed="false">
      <c r="A18" s="5" t="s">
        <v>76</v>
      </c>
      <c r="B18" s="5" t="s">
        <v>52</v>
      </c>
      <c r="C18" s="5" t="s">
        <v>92</v>
      </c>
      <c r="D18" s="15" t="n">
        <f aca="false">VRAM!E7</f>
        <v>21.6</v>
      </c>
      <c r="E18" s="11" t="n">
        <f aca="false">D18+VRAM!$D$12</f>
        <v>29.1</v>
      </c>
      <c r="F18" s="5" t="str">
        <f aca="false">IF(E18&lt;=$B$6,"да","нет")</f>
        <v>нет</v>
      </c>
      <c r="G18" s="16" t="n">
        <f aca="false">$C$6/D18</f>
        <v>14.8148148148148</v>
      </c>
      <c r="H18" s="16" t="n">
        <f aca="false">G18*'Исходные данные'!$B$18</f>
        <v>10.3703703703704</v>
      </c>
      <c r="I18" s="5" t="str">
        <f aca="false">IF(F18="нет","не влезает",IF(H18&gt;='Исходные данные'!$B$11,"подходит","мало скорости"))</f>
        <v>не влезает</v>
      </c>
    </row>
    <row r="19" customFormat="false" ht="15" hidden="false" customHeight="true" outlineLevel="0" collapsed="false">
      <c r="A19" s="5" t="s">
        <v>78</v>
      </c>
      <c r="B19" s="5" t="s">
        <v>50</v>
      </c>
      <c r="C19" s="5" t="s">
        <v>62</v>
      </c>
      <c r="D19" s="15" t="n">
        <f aca="false">VRAM!C5</f>
        <v>19.2</v>
      </c>
      <c r="E19" s="11" t="n">
        <f aca="false">D19+VRAM!$D$12</f>
        <v>26.7</v>
      </c>
      <c r="F19" s="5" t="str">
        <f aca="false">IF(E19&lt;=$B$7,"да","нет")</f>
        <v>нет</v>
      </c>
      <c r="G19" s="16" t="n">
        <f aca="false">$C$7/D19</f>
        <v>15.625</v>
      </c>
      <c r="H19" s="16" t="n">
        <f aca="false">G19*'Исходные данные'!$B$18</f>
        <v>10.9375</v>
      </c>
      <c r="I19" s="5" t="str">
        <f aca="false">IF(F19="нет","не влезает",IF(H19&gt;='Исходные данные'!$B$11,"подходит","мало скорости"))</f>
        <v>не влезает</v>
      </c>
    </row>
    <row r="20" customFormat="false" ht="15" hidden="false" customHeight="true" outlineLevel="0" collapsed="false">
      <c r="A20" s="5" t="s">
        <v>78</v>
      </c>
      <c r="B20" s="5" t="s">
        <v>50</v>
      </c>
      <c r="C20" s="5" t="s">
        <v>92</v>
      </c>
      <c r="D20" s="15" t="n">
        <f aca="false">VRAM!E5</f>
        <v>5.76</v>
      </c>
      <c r="E20" s="11" t="n">
        <f aca="false">D20+VRAM!$D$12</f>
        <v>13.26</v>
      </c>
      <c r="F20" s="5" t="str">
        <f aca="false">IF(E20&lt;=$B$7,"да","нет")</f>
        <v>да</v>
      </c>
      <c r="G20" s="16" t="n">
        <f aca="false">$C$7/D20</f>
        <v>52.0833333333333</v>
      </c>
      <c r="H20" s="16" t="n">
        <f aca="false">G20*'Исходные данные'!$B$18</f>
        <v>36.4583333333333</v>
      </c>
      <c r="I20" s="5" t="str">
        <f aca="false">IF(F20="нет","не влезает",IF(H20&gt;='Исходные данные'!$B$11,"подходит","мало скорости"))</f>
        <v>мало скорости</v>
      </c>
    </row>
    <row r="21" customFormat="false" ht="15" hidden="false" customHeight="true" outlineLevel="0" collapsed="false">
      <c r="A21" s="5" t="s">
        <v>78</v>
      </c>
      <c r="B21" s="5" t="s">
        <v>51</v>
      </c>
      <c r="C21" s="5" t="s">
        <v>62</v>
      </c>
      <c r="D21" s="15" t="n">
        <f aca="false">VRAM!C6</f>
        <v>33.6</v>
      </c>
      <c r="E21" s="11" t="n">
        <f aca="false">D21+VRAM!$D$12</f>
        <v>41.1</v>
      </c>
      <c r="F21" s="5" t="str">
        <f aca="false">IF(E21&lt;=$B$7,"да","нет")</f>
        <v>нет</v>
      </c>
      <c r="G21" s="16" t="n">
        <f aca="false">$C$7/D21</f>
        <v>8.92857142857143</v>
      </c>
      <c r="H21" s="16" t="n">
        <f aca="false">G21*'Исходные данные'!$B$18</f>
        <v>6.25</v>
      </c>
      <c r="I21" s="5" t="str">
        <f aca="false">IF(F21="нет","не влезает",IF(H21&gt;='Исходные данные'!$B$11,"подходит","мало скорости"))</f>
        <v>не влезает</v>
      </c>
    </row>
    <row r="22" customFormat="false" ht="15" hidden="false" customHeight="true" outlineLevel="0" collapsed="false">
      <c r="A22" s="5" t="s">
        <v>78</v>
      </c>
      <c r="B22" s="5" t="s">
        <v>51</v>
      </c>
      <c r="C22" s="5" t="s">
        <v>92</v>
      </c>
      <c r="D22" s="15" t="n">
        <f aca="false">VRAM!E6</f>
        <v>10.08</v>
      </c>
      <c r="E22" s="11" t="n">
        <f aca="false">D22+VRAM!$D$12</f>
        <v>17.58</v>
      </c>
      <c r="F22" s="5" t="str">
        <f aca="false">IF(E22&lt;=$B$7,"да","нет")</f>
        <v>да</v>
      </c>
      <c r="G22" s="16" t="n">
        <f aca="false">$C$7/D22</f>
        <v>29.7619047619048</v>
      </c>
      <c r="H22" s="16" t="n">
        <f aca="false">G22*'Исходные данные'!$B$18</f>
        <v>20.8333333333333</v>
      </c>
      <c r="I22" s="5" t="str">
        <f aca="false">IF(F22="нет","не влезает",IF(H22&gt;='Исходные данные'!$B$11,"подходит","мало скорости"))</f>
        <v>мало скорости</v>
      </c>
    </row>
    <row r="23" customFormat="false" ht="15" hidden="false" customHeight="true" outlineLevel="0" collapsed="false">
      <c r="A23" s="5" t="s">
        <v>78</v>
      </c>
      <c r="B23" s="5" t="s">
        <v>52</v>
      </c>
      <c r="C23" s="5" t="s">
        <v>62</v>
      </c>
      <c r="D23" s="15" t="n">
        <f aca="false">VRAM!C7</f>
        <v>72</v>
      </c>
      <c r="E23" s="11" t="n">
        <f aca="false">D23+VRAM!$D$12</f>
        <v>79.5</v>
      </c>
      <c r="F23" s="5" t="str">
        <f aca="false">IF(E23&lt;=$B$7,"да","нет")</f>
        <v>нет</v>
      </c>
      <c r="G23" s="16" t="n">
        <f aca="false">$C$7/D23</f>
        <v>4.16666666666667</v>
      </c>
      <c r="H23" s="16" t="n">
        <f aca="false">G23*'Исходные данные'!$B$18</f>
        <v>2.91666666666667</v>
      </c>
      <c r="I23" s="5" t="str">
        <f aca="false">IF(F23="нет","не влезает",IF(H23&gt;='Исходные данные'!$B$11,"подходит","мало скорости"))</f>
        <v>не влезает</v>
      </c>
    </row>
    <row r="24" customFormat="false" ht="15" hidden="false" customHeight="true" outlineLevel="0" collapsed="false">
      <c r="A24" s="5" t="s">
        <v>78</v>
      </c>
      <c r="B24" s="5" t="s">
        <v>52</v>
      </c>
      <c r="C24" s="5" t="s">
        <v>92</v>
      </c>
      <c r="D24" s="15" t="n">
        <f aca="false">VRAM!E7</f>
        <v>21.6</v>
      </c>
      <c r="E24" s="11" t="n">
        <f aca="false">D24+VRAM!$D$12</f>
        <v>29.1</v>
      </c>
      <c r="F24" s="5" t="str">
        <f aca="false">IF(E24&lt;=$B$7,"да","нет")</f>
        <v>нет</v>
      </c>
      <c r="G24" s="16" t="n">
        <f aca="false">$C$7/D24</f>
        <v>13.8888888888889</v>
      </c>
      <c r="H24" s="16" t="n">
        <f aca="false">G24*'Исходные данные'!$B$18</f>
        <v>9.72222222222222</v>
      </c>
      <c r="I24" s="5" t="str">
        <f aca="false">IF(F24="нет","не влезает",IF(H24&gt;='Исходные данные'!$B$11,"подходит","мало скорости"))</f>
        <v>не влезает</v>
      </c>
    </row>
    <row r="25" customFormat="false" ht="15" hidden="false" customHeight="true" outlineLevel="0" collapsed="false">
      <c r="A25" s="5" t="s">
        <v>80</v>
      </c>
      <c r="B25" s="5" t="s">
        <v>50</v>
      </c>
      <c r="C25" s="5" t="s">
        <v>62</v>
      </c>
      <c r="D25" s="15" t="n">
        <f aca="false">VRAM!C5</f>
        <v>19.2</v>
      </c>
      <c r="E25" s="11" t="n">
        <f aca="false">D25+VRAM!$D$12</f>
        <v>26.7</v>
      </c>
      <c r="F25" s="5" t="str">
        <f aca="false">IF(E25&lt;=$B$8,"да","нет")</f>
        <v>да</v>
      </c>
      <c r="G25" s="16" t="n">
        <f aca="false">$C$8/D25</f>
        <v>80.9895833333333</v>
      </c>
      <c r="H25" s="16" t="n">
        <f aca="false">G25*'Исходные данные'!$B$18</f>
        <v>56.6927083333333</v>
      </c>
      <c r="I25" s="5" t="str">
        <f aca="false">IF(F25="нет","не влезает",IF(H25&gt;='Исходные данные'!$B$11,"подходит","мало скорости"))</f>
        <v>мало скорости</v>
      </c>
    </row>
    <row r="26" customFormat="false" ht="15" hidden="false" customHeight="true" outlineLevel="0" collapsed="false">
      <c r="A26" s="5" t="s">
        <v>80</v>
      </c>
      <c r="B26" s="5" t="s">
        <v>50</v>
      </c>
      <c r="C26" s="5" t="s">
        <v>92</v>
      </c>
      <c r="D26" s="15" t="n">
        <f aca="false">VRAM!E5</f>
        <v>5.76</v>
      </c>
      <c r="E26" s="11" t="n">
        <f aca="false">D26+VRAM!$D$12</f>
        <v>13.26</v>
      </c>
      <c r="F26" s="5" t="str">
        <f aca="false">IF(E26&lt;=$B$8,"да","нет")</f>
        <v>да</v>
      </c>
      <c r="G26" s="16" t="n">
        <f aca="false">$C$8/D26</f>
        <v>269.965277777778</v>
      </c>
      <c r="H26" s="16" t="n">
        <f aca="false">G26*'Исходные данные'!$B$18</f>
        <v>188.975694444444</v>
      </c>
      <c r="I26" s="5" t="str">
        <f aca="false">IF(F26="нет","не влезает",IF(H26&gt;='Исходные данные'!$B$11,"подходит","мало скорости"))</f>
        <v>подходит</v>
      </c>
    </row>
    <row r="27" customFormat="false" ht="15" hidden="false" customHeight="true" outlineLevel="0" collapsed="false">
      <c r="A27" s="5" t="s">
        <v>80</v>
      </c>
      <c r="B27" s="5" t="s">
        <v>51</v>
      </c>
      <c r="C27" s="5" t="s">
        <v>62</v>
      </c>
      <c r="D27" s="15" t="n">
        <f aca="false">VRAM!C6</f>
        <v>33.6</v>
      </c>
      <c r="E27" s="11" t="n">
        <f aca="false">D27+VRAM!$D$12</f>
        <v>41.1</v>
      </c>
      <c r="F27" s="5" t="str">
        <f aca="false">IF(E27&lt;=$B$8,"да","нет")</f>
        <v>нет</v>
      </c>
      <c r="G27" s="16" t="n">
        <f aca="false">$C$8/D27</f>
        <v>46.2797619047619</v>
      </c>
      <c r="H27" s="16" t="n">
        <f aca="false">G27*'Исходные данные'!$B$18</f>
        <v>32.3958333333333</v>
      </c>
      <c r="I27" s="5" t="str">
        <f aca="false">IF(F27="нет","не влезает",IF(H27&gt;='Исходные данные'!$B$11,"подходит","мало скорости"))</f>
        <v>не влезает</v>
      </c>
    </row>
    <row r="28" customFormat="false" ht="15" hidden="false" customHeight="true" outlineLevel="0" collapsed="false">
      <c r="A28" s="5" t="s">
        <v>80</v>
      </c>
      <c r="B28" s="5" t="s">
        <v>51</v>
      </c>
      <c r="C28" s="5" t="s">
        <v>92</v>
      </c>
      <c r="D28" s="15" t="n">
        <f aca="false">VRAM!E6</f>
        <v>10.08</v>
      </c>
      <c r="E28" s="11" t="n">
        <f aca="false">D28+VRAM!$D$12</f>
        <v>17.58</v>
      </c>
      <c r="F28" s="5" t="str">
        <f aca="false">IF(E28&lt;=$B$8,"да","нет")</f>
        <v>да</v>
      </c>
      <c r="G28" s="16" t="n">
        <f aca="false">$C$8/D28</f>
        <v>154.265873015873</v>
      </c>
      <c r="H28" s="16" t="n">
        <f aca="false">G28*'Исходные данные'!$B$18</f>
        <v>107.986111111111</v>
      </c>
      <c r="I28" s="5" t="str">
        <f aca="false">IF(F28="нет","не влезает",IF(H28&gt;='Исходные данные'!$B$11,"подходит","мало скорости"))</f>
        <v>подходит</v>
      </c>
    </row>
    <row r="29" customFormat="false" ht="15" hidden="false" customHeight="true" outlineLevel="0" collapsed="false">
      <c r="A29" s="5" t="s">
        <v>80</v>
      </c>
      <c r="B29" s="5" t="s">
        <v>52</v>
      </c>
      <c r="C29" s="5" t="s">
        <v>62</v>
      </c>
      <c r="D29" s="15" t="n">
        <f aca="false">VRAM!C7</f>
        <v>72</v>
      </c>
      <c r="E29" s="11" t="n">
        <f aca="false">D29+VRAM!$D$12</f>
        <v>79.5</v>
      </c>
      <c r="F29" s="5" t="str">
        <f aca="false">IF(E29&lt;=$B$8,"да","нет")</f>
        <v>нет</v>
      </c>
      <c r="G29" s="16" t="n">
        <f aca="false">$C$8/D29</f>
        <v>21.5972222222222</v>
      </c>
      <c r="H29" s="16" t="n">
        <f aca="false">G29*'Исходные данные'!$B$18</f>
        <v>15.1180555555556</v>
      </c>
      <c r="I29" s="5" t="str">
        <f aca="false">IF(F29="нет","не влезает",IF(H29&gt;='Исходные данные'!$B$11,"подходит","мало скорости"))</f>
        <v>не влезает</v>
      </c>
    </row>
    <row r="30" customFormat="false" ht="15" hidden="false" customHeight="true" outlineLevel="0" collapsed="false">
      <c r="A30" s="5" t="s">
        <v>80</v>
      </c>
      <c r="B30" s="5" t="s">
        <v>52</v>
      </c>
      <c r="C30" s="5" t="s">
        <v>92</v>
      </c>
      <c r="D30" s="15" t="n">
        <f aca="false">VRAM!E7</f>
        <v>21.6</v>
      </c>
      <c r="E30" s="11" t="n">
        <f aca="false">D30+VRAM!$D$12</f>
        <v>29.1</v>
      </c>
      <c r="F30" s="5" t="str">
        <f aca="false">IF(E30&lt;=$B$8,"да","нет")</f>
        <v>да</v>
      </c>
      <c r="G30" s="16" t="n">
        <f aca="false">$C$8/D30</f>
        <v>71.9907407407408</v>
      </c>
      <c r="H30" s="16" t="n">
        <f aca="false">G30*'Исходные данные'!$B$18</f>
        <v>50.3935185185185</v>
      </c>
      <c r="I30" s="5" t="str">
        <f aca="false">IF(F30="нет","не влезает",IF(H30&gt;='Исходные данные'!$B$11,"подходит","мало скорости"))</f>
        <v>мало скорости</v>
      </c>
    </row>
    <row r="31" customFormat="false" ht="15" hidden="false" customHeight="true" outlineLevel="0" collapsed="false">
      <c r="A31" s="5" t="s">
        <v>82</v>
      </c>
      <c r="B31" s="5" t="s">
        <v>50</v>
      </c>
      <c r="C31" s="5" t="s">
        <v>62</v>
      </c>
      <c r="D31" s="15" t="n">
        <f aca="false">VRAM!C5</f>
        <v>19.2</v>
      </c>
      <c r="E31" s="11" t="n">
        <f aca="false">D31+VRAM!$D$12</f>
        <v>26.7</v>
      </c>
      <c r="F31" s="5" t="str">
        <f aca="false">IF(E31&lt;=$B$9,"да","нет")</f>
        <v>да</v>
      </c>
      <c r="G31" s="16" t="n">
        <f aca="false">$C$9/D31</f>
        <v>100.78125</v>
      </c>
      <c r="H31" s="16" t="n">
        <f aca="false">G31*'Исходные данные'!$B$18</f>
        <v>70.546875</v>
      </c>
      <c r="I31" s="5" t="str">
        <f aca="false">IF(F31="нет","не влезает",IF(H31&gt;='Исходные данные'!$B$11,"подходит","мало скорости"))</f>
        <v>мало скорости</v>
      </c>
    </row>
    <row r="32" customFormat="false" ht="15" hidden="false" customHeight="true" outlineLevel="0" collapsed="false">
      <c r="A32" s="5" t="s">
        <v>82</v>
      </c>
      <c r="B32" s="5" t="s">
        <v>50</v>
      </c>
      <c r="C32" s="5" t="s">
        <v>92</v>
      </c>
      <c r="D32" s="15" t="n">
        <f aca="false">VRAM!E5</f>
        <v>5.76</v>
      </c>
      <c r="E32" s="11" t="n">
        <f aca="false">D32+VRAM!$D$12</f>
        <v>13.26</v>
      </c>
      <c r="F32" s="5" t="str">
        <f aca="false">IF(E32&lt;=$B$9,"да","нет")</f>
        <v>да</v>
      </c>
      <c r="G32" s="16" t="n">
        <f aca="false">$C$9/D32</f>
        <v>335.9375</v>
      </c>
      <c r="H32" s="16" t="n">
        <f aca="false">G32*'Исходные данные'!$B$18</f>
        <v>235.15625</v>
      </c>
      <c r="I32" s="5" t="str">
        <f aca="false">IF(F32="нет","не влезает",IF(H32&gt;='Исходные данные'!$B$11,"подходит","мало скорости"))</f>
        <v>подходит</v>
      </c>
    </row>
    <row r="33" customFormat="false" ht="15" hidden="false" customHeight="true" outlineLevel="0" collapsed="false">
      <c r="A33" s="5" t="s">
        <v>82</v>
      </c>
      <c r="B33" s="5" t="s">
        <v>51</v>
      </c>
      <c r="C33" s="5" t="s">
        <v>62</v>
      </c>
      <c r="D33" s="15" t="n">
        <f aca="false">VRAM!C6</f>
        <v>33.6</v>
      </c>
      <c r="E33" s="11" t="n">
        <f aca="false">D33+VRAM!$D$12</f>
        <v>41.1</v>
      </c>
      <c r="F33" s="5" t="str">
        <f aca="false">IF(E33&lt;=$B$9,"да","нет")</f>
        <v>да</v>
      </c>
      <c r="G33" s="16" t="n">
        <f aca="false">$C$9/D33</f>
        <v>57.5892857142857</v>
      </c>
      <c r="H33" s="16" t="n">
        <f aca="false">G33*'Исходные данные'!$B$18</f>
        <v>40.3125</v>
      </c>
      <c r="I33" s="5" t="str">
        <f aca="false">IF(F33="нет","не влезает",IF(H33&gt;='Исходные данные'!$B$11,"подходит","мало скорости"))</f>
        <v>мало скорости</v>
      </c>
    </row>
    <row r="34" customFormat="false" ht="15" hidden="false" customHeight="true" outlineLevel="0" collapsed="false">
      <c r="A34" s="5" t="s">
        <v>82</v>
      </c>
      <c r="B34" s="5" t="s">
        <v>51</v>
      </c>
      <c r="C34" s="5" t="s">
        <v>92</v>
      </c>
      <c r="D34" s="15" t="n">
        <f aca="false">VRAM!E6</f>
        <v>10.08</v>
      </c>
      <c r="E34" s="11" t="n">
        <f aca="false">D34+VRAM!$D$12</f>
        <v>17.58</v>
      </c>
      <c r="F34" s="5" t="str">
        <f aca="false">IF(E34&lt;=$B$9,"да","нет")</f>
        <v>да</v>
      </c>
      <c r="G34" s="16" t="n">
        <f aca="false">$C$9/D34</f>
        <v>191.964285714286</v>
      </c>
      <c r="H34" s="16" t="n">
        <f aca="false">G34*'Исходные данные'!$B$18</f>
        <v>134.375</v>
      </c>
      <c r="I34" s="5" t="str">
        <f aca="false">IF(F34="нет","не влезает",IF(H34&gt;='Исходные данные'!$B$11,"подходит","мало скорости"))</f>
        <v>подходит</v>
      </c>
    </row>
    <row r="35" customFormat="false" ht="15" hidden="false" customHeight="true" outlineLevel="0" collapsed="false">
      <c r="A35" s="5" t="s">
        <v>82</v>
      </c>
      <c r="B35" s="5" t="s">
        <v>52</v>
      </c>
      <c r="C35" s="5" t="s">
        <v>62</v>
      </c>
      <c r="D35" s="15" t="n">
        <f aca="false">VRAM!C7</f>
        <v>72</v>
      </c>
      <c r="E35" s="11" t="n">
        <f aca="false">D35+VRAM!$D$12</f>
        <v>79.5</v>
      </c>
      <c r="F35" s="5" t="str">
        <f aca="false">IF(E35&lt;=$B$9,"да","нет")</f>
        <v>да</v>
      </c>
      <c r="G35" s="16" t="n">
        <f aca="false">$C$9/D35</f>
        <v>26.875</v>
      </c>
      <c r="H35" s="16" t="n">
        <f aca="false">G35*'Исходные данные'!$B$18</f>
        <v>18.8125</v>
      </c>
      <c r="I35" s="5" t="str">
        <f aca="false">IF(F35="нет","не влезает",IF(H35&gt;='Исходные данные'!$B$11,"подходит","мало скорости"))</f>
        <v>мало скорости</v>
      </c>
    </row>
    <row r="36" customFormat="false" ht="15" hidden="false" customHeight="true" outlineLevel="0" collapsed="false">
      <c r="A36" s="5" t="s">
        <v>82</v>
      </c>
      <c r="B36" s="5" t="s">
        <v>52</v>
      </c>
      <c r="C36" s="5" t="s">
        <v>92</v>
      </c>
      <c r="D36" s="15" t="n">
        <f aca="false">VRAM!E7</f>
        <v>21.6</v>
      </c>
      <c r="E36" s="11" t="n">
        <f aca="false">D36+VRAM!$D$12</f>
        <v>29.1</v>
      </c>
      <c r="F36" s="5" t="str">
        <f aca="false">IF(E36&lt;=$B$9,"да","нет")</f>
        <v>да</v>
      </c>
      <c r="G36" s="16" t="n">
        <f aca="false">$C$9/D36</f>
        <v>89.5833333333333</v>
      </c>
      <c r="H36" s="16" t="n">
        <f aca="false">G36*'Исходные данные'!$B$18</f>
        <v>62.7083333333333</v>
      </c>
      <c r="I36" s="5" t="str">
        <f aca="false">IF(F36="нет","не влезает",IF(H36&gt;='Исходные данные'!$B$11,"подходит","мало скорости"))</f>
        <v>мало скорости</v>
      </c>
    </row>
    <row r="38" customFormat="false" ht="15" hidden="false" customHeight="true" outlineLevel="0" collapsed="false">
      <c r="A38" s="3" t="s">
        <v>93</v>
      </c>
    </row>
    <row r="39" customFormat="false" ht="15" hidden="false" customHeight="true" outlineLevel="0" collapsed="false">
      <c r="A39" s="3" t="s">
        <v>94</v>
      </c>
    </row>
    <row r="40" customFormat="false" ht="15" hidden="false" customHeight="true" outlineLevel="0" collapsed="false">
      <c r="A40" s="3" t="s">
        <v>95</v>
      </c>
    </row>
  </sheetData>
  <conditionalFormatting sqref="A13:I36">
    <cfRule type="expression" priority="2" aboveAverage="0" equalAverage="0" bottom="0" percent="0" rank="0" text="" dxfId="0">
      <formula>$I13="подходит"</formula>
    </cfRule>
    <cfRule type="expression" priority="3" aboveAverage="0" equalAverage="0" bottom="0" percent="0" rank="0" text="" dxfId="1">
      <formula>$I13="мало скорости"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44"/>
  </cols>
  <sheetData>
    <row r="1" customFormat="false" ht="15" hidden="false" customHeight="true" outlineLevel="0" collapsed="false">
      <c r="A1" s="2" t="s">
        <v>96</v>
      </c>
    </row>
    <row r="2" customFormat="false" ht="15" hidden="false" customHeight="true" outlineLevel="0" collapsed="false">
      <c r="A2" s="3" t="s">
        <v>97</v>
      </c>
    </row>
    <row r="4" customFormat="false" ht="33.75" hidden="false" customHeight="true" outlineLevel="0" collapsed="false">
      <c r="A4" s="4" t="s">
        <v>98</v>
      </c>
      <c r="B4" s="4" t="s">
        <v>99</v>
      </c>
      <c r="C4" s="4" t="s">
        <v>100</v>
      </c>
      <c r="D4" s="4" t="s">
        <v>101</v>
      </c>
      <c r="E4" s="4" t="s">
        <v>102</v>
      </c>
      <c r="F4" s="4" t="s">
        <v>103</v>
      </c>
    </row>
    <row r="5" customFormat="false" ht="15" hidden="false" customHeight="true" outlineLevel="0" collapsed="false">
      <c r="A5" s="5" t="s">
        <v>104</v>
      </c>
      <c r="B5" s="5" t="s">
        <v>105</v>
      </c>
      <c r="C5" s="17" t="n">
        <v>179</v>
      </c>
      <c r="D5" s="18" t="n">
        <f aca="false">C5*'Исходные данные'!$B$19</f>
        <v>130670</v>
      </c>
      <c r="E5" s="18" t="n">
        <f aca="false">C5*365*12/12</f>
        <v>65335</v>
      </c>
      <c r="F5" s="7" t="s">
        <v>106</v>
      </c>
    </row>
    <row r="6" customFormat="false" ht="15" hidden="false" customHeight="true" outlineLevel="0" collapsed="false">
      <c r="A6" s="5" t="s">
        <v>104</v>
      </c>
      <c r="B6" s="5" t="s">
        <v>107</v>
      </c>
      <c r="C6" s="17" t="n">
        <v>223</v>
      </c>
      <c r="D6" s="18" t="n">
        <f aca="false">C6*'Исходные данные'!$B$19</f>
        <v>162790</v>
      </c>
      <c r="E6" s="18" t="n">
        <f aca="false">C6*365*12/12</f>
        <v>81395</v>
      </c>
      <c r="F6" s="7" t="s">
        <v>106</v>
      </c>
    </row>
    <row r="7" customFormat="false" ht="15" hidden="false" customHeight="true" outlineLevel="0" collapsed="false">
      <c r="A7" s="5" t="s">
        <v>104</v>
      </c>
      <c r="B7" s="5" t="s">
        <v>108</v>
      </c>
      <c r="C7" s="17" t="n">
        <v>168.48</v>
      </c>
      <c r="D7" s="18" t="n">
        <f aca="false">C7*'Исходные данные'!$B$19</f>
        <v>122990.4</v>
      </c>
      <c r="E7" s="18" t="n">
        <f aca="false">C7*365*12/12</f>
        <v>61495.2</v>
      </c>
      <c r="F7" s="7" t="s">
        <v>109</v>
      </c>
    </row>
    <row r="8" customFormat="false" ht="15" hidden="false" customHeight="true" outlineLevel="0" collapsed="false">
      <c r="A8" s="5" t="s">
        <v>110</v>
      </c>
      <c r="B8" s="5" t="s">
        <v>111</v>
      </c>
      <c r="C8" s="17" t="n">
        <v>252.85</v>
      </c>
      <c r="D8" s="18" t="n">
        <f aca="false">C8*'Исходные данные'!$B$19</f>
        <v>184580.5</v>
      </c>
      <c r="E8" s="18" t="n">
        <f aca="false">C8*365*12/12</f>
        <v>92290.25</v>
      </c>
      <c r="F8" s="7" t="s">
        <v>112</v>
      </c>
    </row>
    <row r="9" customFormat="false" ht="15" hidden="false" customHeight="true" outlineLevel="0" collapsed="false">
      <c r="A9" s="5" t="s">
        <v>110</v>
      </c>
      <c r="B9" s="5" t="s">
        <v>113</v>
      </c>
      <c r="C9" s="17" t="n">
        <v>313.01</v>
      </c>
      <c r="D9" s="18" t="n">
        <f aca="false">C9*'Исходные данные'!$B$19</f>
        <v>228497.3</v>
      </c>
      <c r="E9" s="18" t="n">
        <f aca="false">C9*365*12/12</f>
        <v>114248.65</v>
      </c>
      <c r="F9" s="7" t="s">
        <v>112</v>
      </c>
    </row>
    <row r="10" customFormat="false" ht="15" hidden="false" customHeight="true" outlineLevel="0" collapsed="false">
      <c r="A10" s="5" t="s">
        <v>114</v>
      </c>
      <c r="B10" s="5" t="s">
        <v>115</v>
      </c>
      <c r="C10" s="17" t="n">
        <v>20.55</v>
      </c>
      <c r="D10" s="18" t="n">
        <f aca="false">C10*'Исходные данные'!$B$19</f>
        <v>15001.5</v>
      </c>
      <c r="E10" s="18" t="n">
        <f aca="false">C10*365*12/12</f>
        <v>7500.75</v>
      </c>
      <c r="F10" s="7" t="s">
        <v>116</v>
      </c>
    </row>
    <row r="12" customFormat="false" ht="15" hidden="false" customHeight="true" outlineLevel="0" collapsed="false">
      <c r="A12" s="12" t="s">
        <v>117</v>
      </c>
    </row>
    <row r="13" customFormat="false" ht="27.75" hidden="false" customHeight="true" outlineLevel="0" collapsed="false">
      <c r="A13" s="4" t="s">
        <v>118</v>
      </c>
      <c r="B13" s="4" t="s">
        <v>119</v>
      </c>
      <c r="C13" s="4" t="s">
        <v>120</v>
      </c>
      <c r="D13" s="4" t="s">
        <v>121</v>
      </c>
    </row>
    <row r="14" customFormat="false" ht="15" hidden="false" customHeight="true" outlineLevel="0" collapsed="false">
      <c r="A14" s="5" t="s">
        <v>104</v>
      </c>
      <c r="B14" s="5" t="s">
        <v>122</v>
      </c>
      <c r="C14" s="18" t="n">
        <f aca="false">D6+D10</f>
        <v>177791.5</v>
      </c>
      <c r="D14" s="18" t="n">
        <f aca="false">C14-MIN($C$14:$C$15)</f>
        <v>0</v>
      </c>
    </row>
    <row r="15" customFormat="false" ht="15" hidden="false" customHeight="true" outlineLevel="0" collapsed="false">
      <c r="A15" s="5" t="s">
        <v>110</v>
      </c>
      <c r="B15" s="5" t="s">
        <v>123</v>
      </c>
      <c r="C15" s="18" t="n">
        <f aca="false">D8</f>
        <v>184580.5</v>
      </c>
      <c r="D15" s="18" t="n">
        <f aca="false">C15-MIN($C$14:$C$15)</f>
        <v>6789</v>
      </c>
    </row>
    <row r="16" customFormat="false" ht="15" hidden="false" customHeight="true" outlineLevel="0" collapsed="false">
      <c r="A16" s="19" t="s">
        <v>124</v>
      </c>
      <c r="B16" s="5" t="s">
        <v>125</v>
      </c>
      <c r="C16" s="20" t="n">
        <v>180000</v>
      </c>
      <c r="D16" s="18" t="n">
        <f aca="false">C16-MIN($C$14:$C$15)</f>
        <v>2208.5</v>
      </c>
    </row>
    <row r="18" customFormat="false" ht="15" hidden="false" customHeight="true" outlineLevel="0" collapsed="false">
      <c r="A18" s="3" t="s">
        <v>126</v>
      </c>
    </row>
    <row r="19" customFormat="false" ht="15" hidden="false" customHeight="true" outlineLevel="0" collapsed="false">
      <c r="A19" s="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58"/>
  </cols>
  <sheetData>
    <row r="1" customFormat="false" ht="15" hidden="false" customHeight="true" outlineLevel="0" collapsed="false">
      <c r="A1" s="2" t="s">
        <v>128</v>
      </c>
    </row>
    <row r="2" customFormat="false" ht="15" hidden="false" customHeight="true" outlineLevel="0" collapsed="false">
      <c r="A2" s="3" t="s">
        <v>129</v>
      </c>
    </row>
    <row r="3" customFormat="false" ht="15" hidden="false" customHeight="true" outlineLevel="0" collapsed="false">
      <c r="A3" s="3" t="s">
        <v>130</v>
      </c>
    </row>
    <row r="5" customFormat="false" ht="33.75" hidden="false" customHeight="true" outlineLevel="0" collapsed="false">
      <c r="A5" s="4" t="s">
        <v>131</v>
      </c>
      <c r="B5" s="4" t="s">
        <v>132</v>
      </c>
      <c r="C5" s="4" t="s">
        <v>133</v>
      </c>
      <c r="D5" s="4" t="s">
        <v>134</v>
      </c>
      <c r="E5" s="4" t="s">
        <v>59</v>
      </c>
    </row>
    <row r="6" customFormat="false" ht="15" hidden="false" customHeight="true" outlineLevel="0" collapsed="false">
      <c r="A6" s="5" t="s">
        <v>135</v>
      </c>
      <c r="B6" s="18" t="n">
        <f aca="false">'Исходные данные'!$B$11*'Исходные данные'!$B$10</f>
        <v>1800</v>
      </c>
      <c r="C6" s="18" t="n">
        <f aca="false">'Исходные данные'!$B$11*'Исходные данные'!$B$10</f>
        <v>1800</v>
      </c>
      <c r="D6" s="5" t="s">
        <v>22</v>
      </c>
      <c r="E6" s="7" t="s">
        <v>136</v>
      </c>
    </row>
    <row r="7" customFormat="false" ht="15" hidden="false" customHeight="true" outlineLevel="0" collapsed="false">
      <c r="A7" s="5" t="s">
        <v>137</v>
      </c>
      <c r="B7" s="18" t="n">
        <f aca="false">Карты!H28</f>
        <v>107.986111111111</v>
      </c>
      <c r="C7" s="18" t="n">
        <f aca="false">Карты!H28*'Исходные данные'!$B$10</f>
        <v>2159.72222222222</v>
      </c>
      <c r="D7" s="5" t="s">
        <v>22</v>
      </c>
      <c r="E7" s="7" t="s">
        <v>138</v>
      </c>
    </row>
    <row r="8" customFormat="false" ht="15" hidden="false" customHeight="true" outlineLevel="0" collapsed="false">
      <c r="A8" s="5" t="s">
        <v>139</v>
      </c>
      <c r="B8" s="18" t="n">
        <f aca="false">ROUNDUP(B6/B7,0)</f>
        <v>17</v>
      </c>
      <c r="C8" s="18" t="n">
        <f aca="false">ROUNDUP(C6/C7,0)</f>
        <v>1</v>
      </c>
      <c r="D8" s="5" t="s">
        <v>7</v>
      </c>
      <c r="E8" s="7" t="s">
        <v>140</v>
      </c>
    </row>
    <row r="9" customFormat="false" ht="15" hidden="false" customHeight="true" outlineLevel="0" collapsed="false">
      <c r="A9" s="5" t="s">
        <v>141</v>
      </c>
      <c r="B9" s="18" t="n">
        <f aca="false">B8*Облака!$C$15</f>
        <v>3137868.5</v>
      </c>
      <c r="C9" s="18" t="n">
        <f aca="false">C8*Облака!$C$15</f>
        <v>184580.5</v>
      </c>
      <c r="D9" s="5" t="s">
        <v>142</v>
      </c>
      <c r="E9" s="7" t="s">
        <v>143</v>
      </c>
    </row>
    <row r="11" customFormat="false" ht="15" hidden="false" customHeight="true" outlineLevel="0" collapsed="false">
      <c r="A11" s="19" t="s">
        <v>144</v>
      </c>
      <c r="B11" s="21" t="n">
        <f aca="false">B9-C9</f>
        <v>2953288</v>
      </c>
      <c r="C11" s="22" t="n">
        <f aca="false">IFERROR(B9/C9,0)</f>
        <v>17</v>
      </c>
      <c r="D11" s="5" t="s">
        <v>145</v>
      </c>
      <c r="E11" s="7" t="s">
        <v>146</v>
      </c>
    </row>
    <row r="13" customFormat="false" ht="15" hidden="false" customHeight="true" outlineLevel="0" collapsed="false">
      <c r="A13" s="12" t="s">
        <v>147</v>
      </c>
    </row>
    <row r="14" customFormat="false" ht="33.75" hidden="false" customHeight="true" outlineLevel="0" collapsed="false">
      <c r="A14" s="4" t="s">
        <v>131</v>
      </c>
      <c r="B14" s="4" t="s">
        <v>148</v>
      </c>
      <c r="C14" s="4" t="s">
        <v>149</v>
      </c>
      <c r="D14" s="4" t="s">
        <v>134</v>
      </c>
      <c r="E14" s="4" t="s">
        <v>59</v>
      </c>
    </row>
    <row r="15" customFormat="false" ht="15" hidden="false" customHeight="true" outlineLevel="0" collapsed="false">
      <c r="A15" s="5" t="s">
        <v>150</v>
      </c>
      <c r="B15" s="23" t="n">
        <f aca="false">VRAM!C12</f>
        <v>0.375</v>
      </c>
      <c r="C15" s="23" t="n">
        <f aca="false">VRAM!C12*$B$19</f>
        <v>0.13125</v>
      </c>
      <c r="D15" s="5" t="s">
        <v>151</v>
      </c>
      <c r="E15" s="7" t="s">
        <v>152</v>
      </c>
    </row>
    <row r="16" customFormat="false" ht="15" hidden="false" customHeight="true" outlineLevel="0" collapsed="false">
      <c r="A16" s="5" t="s">
        <v>153</v>
      </c>
      <c r="B16" s="23" t="n">
        <f aca="false">VRAM!D12</f>
        <v>7.5</v>
      </c>
      <c r="C16" s="23" t="n">
        <f aca="false">C15*'Исходные данные'!$B$10</f>
        <v>2.625</v>
      </c>
      <c r="D16" s="5" t="s">
        <v>151</v>
      </c>
      <c r="E16" s="7" t="s">
        <v>154</v>
      </c>
    </row>
    <row r="17" customFormat="false" ht="15" hidden="false" customHeight="true" outlineLevel="0" collapsed="false">
      <c r="A17" s="5" t="s">
        <v>155</v>
      </c>
      <c r="B17" s="23" t="n">
        <f aca="false">VRAM!E6+B16</f>
        <v>17.58</v>
      </c>
      <c r="C17" s="23" t="n">
        <f aca="false">VRAM!E6+C16</f>
        <v>12.705</v>
      </c>
      <c r="D17" s="5" t="s">
        <v>151</v>
      </c>
      <c r="E17" s="7" t="s">
        <v>156</v>
      </c>
    </row>
    <row r="19" customFormat="false" ht="15" hidden="false" customHeight="true" outlineLevel="0" collapsed="false">
      <c r="A19" s="5" t="s">
        <v>157</v>
      </c>
      <c r="B19" s="24" t="n">
        <v>0.35</v>
      </c>
      <c r="C19" s="25"/>
      <c r="D19" s="25"/>
      <c r="E19" s="7" t="s">
        <v>158</v>
      </c>
    </row>
    <row r="21" customFormat="false" ht="15" hidden="false" customHeight="true" outlineLevel="0" collapsed="false">
      <c r="A21" s="12" t="s">
        <v>159</v>
      </c>
    </row>
    <row r="22" customFormat="false" ht="15" hidden="false" customHeight="true" outlineLevel="0" collapsed="false">
      <c r="A22" s="3" t="s">
        <v>160</v>
      </c>
    </row>
    <row r="23" customFormat="false" ht="15" hidden="false" customHeight="true" outlineLevel="0" collapsed="false">
      <c r="A23" s="3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2026-10-20T14:49:24Z</dcterms:created>
  <dc:creator>openpyxl</dc:creator>
  <dc:description/>
  <dc:language>en-US</dc:language>
  <cp:lastModifiedBy/>
  <dcterms:modified xsi:type="dcterms:W3CDTF">2026-10-20T14:51:21Z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